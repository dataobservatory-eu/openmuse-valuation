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arkdown\openmuse-valuation\data\"/>
    </mc:Choice>
  </mc:AlternateContent>
  <xr:revisionPtr revIDLastSave="0" documentId="13_ncr:1_{AF090C1C-F8DC-4BC1-8A69-05FC30CC2B78}" xr6:coauthVersionLast="47" xr6:coauthVersionMax="47" xr10:uidLastSave="{00000000-0000-0000-0000-000000000000}"/>
  <bookViews>
    <workbookView xWindow="-110" yWindow="-110" windowWidth="19420" windowHeight="10300" xr2:uid="{097A2412-E69C-4F55-A25B-FA281FB78CDA}"/>
  </bookViews>
  <sheets>
    <sheet name="Benchmark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F29" i="1"/>
  <c r="E29" i="1"/>
  <c r="D29" i="1"/>
  <c r="G28" i="1"/>
  <c r="F28" i="1"/>
  <c r="E28" i="1"/>
  <c r="D28" i="1"/>
  <c r="G27" i="1"/>
  <c r="F27" i="1"/>
  <c r="E27" i="1"/>
  <c r="D27" i="1"/>
  <c r="G26" i="1"/>
  <c r="F26" i="1"/>
  <c r="E26" i="1"/>
  <c r="D26" i="1"/>
  <c r="C26" i="1"/>
  <c r="A26" i="1"/>
  <c r="G25" i="1"/>
  <c r="F25" i="1"/>
  <c r="E25" i="1"/>
  <c r="D25" i="1"/>
  <c r="C25" i="1"/>
  <c r="A25" i="1"/>
  <c r="G24" i="1"/>
  <c r="F24" i="1"/>
  <c r="E24" i="1"/>
  <c r="D24" i="1"/>
  <c r="C24" i="1"/>
  <c r="A24" i="1"/>
  <c r="G23" i="1"/>
  <c r="F23" i="1"/>
  <c r="E23" i="1"/>
  <c r="D23" i="1"/>
  <c r="C23" i="1"/>
  <c r="A23" i="1"/>
  <c r="D22" i="1"/>
  <c r="C22" i="1"/>
  <c r="C21" i="1"/>
  <c r="A21" i="1"/>
  <c r="C20" i="1"/>
  <c r="A20" i="1"/>
  <c r="G19" i="1"/>
  <c r="F19" i="1"/>
  <c r="E19" i="1"/>
  <c r="D19" i="1"/>
  <c r="G18" i="1"/>
  <c r="F18" i="1"/>
  <c r="E18" i="1"/>
  <c r="D18" i="1"/>
  <c r="C18" i="1"/>
  <c r="A18" i="1"/>
  <c r="G17" i="1"/>
  <c r="F17" i="1"/>
  <c r="E17" i="1"/>
  <c r="D17" i="1"/>
  <c r="C17" i="1"/>
  <c r="A17" i="1"/>
  <c r="G16" i="1"/>
  <c r="F16" i="1"/>
  <c r="E16" i="1"/>
  <c r="D16" i="1"/>
  <c r="C16" i="1"/>
  <c r="A16" i="1"/>
  <c r="G15" i="1"/>
  <c r="F15" i="1"/>
  <c r="E15" i="1"/>
  <c r="D15" i="1"/>
  <c r="C15" i="1"/>
  <c r="A15" i="1"/>
  <c r="G14" i="1"/>
  <c r="F14" i="1"/>
  <c r="E14" i="1"/>
  <c r="D14" i="1"/>
  <c r="C14" i="1"/>
  <c r="A14" i="1"/>
  <c r="G13" i="1"/>
  <c r="G22" i="1" s="1"/>
  <c r="F13" i="1"/>
  <c r="E13" i="1"/>
  <c r="D13" i="1"/>
  <c r="C13" i="1"/>
  <c r="A13" i="1"/>
  <c r="G12" i="1"/>
  <c r="F12" i="1"/>
  <c r="F22" i="1" s="1"/>
  <c r="E12" i="1"/>
  <c r="E22" i="1" s="1"/>
  <c r="D12" i="1"/>
  <c r="C12" i="1"/>
  <c r="A12" i="1"/>
  <c r="G11" i="1"/>
  <c r="F11" i="1"/>
  <c r="E11" i="1"/>
  <c r="D11" i="1"/>
  <c r="G10" i="1"/>
  <c r="F10" i="1"/>
  <c r="F20" i="1" s="1"/>
  <c r="E10" i="1"/>
  <c r="D10" i="1"/>
  <c r="C10" i="1"/>
  <c r="A10" i="1"/>
  <c r="G9" i="1"/>
  <c r="F9" i="1"/>
  <c r="E9" i="1"/>
  <c r="D9" i="1"/>
  <c r="C9" i="1"/>
  <c r="A9" i="1"/>
  <c r="G8" i="1"/>
  <c r="F8" i="1"/>
  <c r="E8" i="1"/>
  <c r="D8" i="1"/>
  <c r="C8" i="1"/>
  <c r="A8" i="1"/>
  <c r="G7" i="1"/>
  <c r="F7" i="1"/>
  <c r="E7" i="1"/>
  <c r="D7" i="1"/>
  <c r="C7" i="1"/>
  <c r="A7" i="1"/>
  <c r="G6" i="1"/>
  <c r="F6" i="1"/>
  <c r="E6" i="1"/>
  <c r="D6" i="1"/>
  <c r="C6" i="1"/>
  <c r="G5" i="1"/>
  <c r="G20" i="1" s="1"/>
  <c r="F5" i="1"/>
  <c r="E5" i="1"/>
  <c r="E20" i="1" s="1"/>
  <c r="D5" i="1"/>
  <c r="D20" i="1" s="1"/>
  <c r="A5" i="1"/>
  <c r="G4" i="1"/>
  <c r="F4" i="1"/>
  <c r="E4" i="1"/>
  <c r="D4" i="1"/>
  <c r="C4" i="1"/>
  <c r="A4" i="1"/>
  <c r="G3" i="1"/>
  <c r="F3" i="1"/>
  <c r="E3" i="1"/>
  <c r="D3" i="1"/>
  <c r="C3" i="1"/>
  <c r="A3" i="1"/>
  <c r="G2" i="1"/>
  <c r="G21" i="1" s="1"/>
  <c r="F2" i="1"/>
  <c r="F21" i="1" s="1"/>
  <c r="E2" i="1"/>
  <c r="E21" i="1" s="1"/>
  <c r="D2" i="1"/>
  <c r="D21" i="1" s="1"/>
  <c r="C2" i="1"/>
  <c r="A2" i="1"/>
  <c r="G1" i="1"/>
  <c r="F1" i="1"/>
  <c r="E1" i="1"/>
  <c r="D1" i="1"/>
</calcChain>
</file>

<file path=xl/sharedStrings.xml><?xml version="1.0" encoding="utf-8"?>
<sst xmlns="http://schemas.openxmlformats.org/spreadsheetml/2006/main" count="38" uniqueCount="38">
  <si>
    <t>label</t>
  </si>
  <si>
    <t>variable_name</t>
  </si>
  <si>
    <t>uri</t>
  </si>
  <si>
    <t>authors_performing_radio</t>
  </si>
  <si>
    <t>authors_performing_terrestial_tv</t>
  </si>
  <si>
    <t>authors_performing_cable</t>
  </si>
  <si>
    <t>authors_performing_tv</t>
  </si>
  <si>
    <t>subtotal of radio and television performing rights</t>
  </si>
  <si>
    <t>subtotal_authors_performing</t>
  </si>
  <si>
    <t>authors_reproduction_radio</t>
  </si>
  <si>
    <t>authors_reproduction_terrestial_tv</t>
  </si>
  <si>
    <t>authors_reproduction_cable</t>
  </si>
  <si>
    <t>authors_reproduction_tv</t>
  </si>
  <si>
    <t>subtotal of radio and television mechanical rights</t>
  </si>
  <si>
    <t>subtotal_authors_reproduction</t>
  </si>
  <si>
    <t>authors_performing_digital</t>
  </si>
  <si>
    <t>authors_performing_concert</t>
  </si>
  <si>
    <t>authors_performing_disco</t>
  </si>
  <si>
    <t>authors_performing_background</t>
  </si>
  <si>
    <t>subtotal_authors_public_performance</t>
  </si>
  <si>
    <t>authors_reproduction_phonogram</t>
  </si>
  <si>
    <t>tota comparable author royalty</t>
  </si>
  <si>
    <t>total_comparable_income</t>
  </si>
  <si>
    <t>authors_total_tv</t>
  </si>
  <si>
    <t>authors_total_radio</t>
  </si>
  <si>
    <t>gross royalty revenue from digital and media use (authors)</t>
  </si>
  <si>
    <t>authors_total_digital</t>
  </si>
  <si>
    <t>physical_revenue</t>
  </si>
  <si>
    <t>download_revenue</t>
  </si>
  <si>
    <t>streaming_revenue</t>
  </si>
  <si>
    <t>publicperf_revenue</t>
  </si>
  <si>
    <t>domestic download rate</t>
  </si>
  <si>
    <t>download_domestic_rate</t>
  </si>
  <si>
    <t>domestic streaming reate</t>
  </si>
  <si>
    <t>streaming_streaming_rate</t>
  </si>
  <si>
    <t>domestic physical sales rate</t>
  </si>
  <si>
    <t>streaming_physical_rate</t>
  </si>
  <si>
    <t>authors_reproduction_digital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</si>
</sst>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visegradinvestments-my.sharepoint.com/personal/antaldaniel_visegradinvestments_onmicrosoft_com/Documents/2025%20Projektek/OpenMusE/Valuation_26.xlsx" TargetMode="External"/><Relationship Id="rId1" Type="http://schemas.openxmlformats.org/officeDocument/2006/relationships/externalLinkPath" Target="https://visegradinvestments-my.sharepoint.com/personal/antaldaniel_visegradinvestments_onmicrosoft_com/Documents/2025%20Projektek/OpenMusE/Valuation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tisjus_2024"/>
      <sheetName val="Artisjus_2023"/>
      <sheetName val="SOZA_2024_M"/>
      <sheetName val="SOZA_2024_P"/>
      <sheetName val="SOZA_2024"/>
      <sheetName val="Benchmark"/>
      <sheetName val="Compare"/>
      <sheetName val="Mahasz"/>
      <sheetName val="digitalis_2023"/>
      <sheetName val="digitális (2024)"/>
      <sheetName val="fizikai (2024)"/>
      <sheetName val="physical_2023"/>
      <sheetName val="SOZA_2023_P"/>
      <sheetName val="SOZA_2023_M"/>
      <sheetName val="SOZA_2023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M1" t="str">
            <v>liv_2023</v>
          </cell>
          <cell r="N1" t="str">
            <v>liv_2024</v>
          </cell>
          <cell r="O1" t="str">
            <v>pom_2023</v>
          </cell>
          <cell r="P1" t="str">
            <v>pom_2024</v>
          </cell>
        </row>
        <row r="2">
          <cell r="A2" t="str">
            <v xml:space="preserve">gross performing royalty revenue from radio use (authors) </v>
          </cell>
          <cell r="B2" t="str">
            <v>Q2056</v>
          </cell>
          <cell r="M2">
            <v>204817521.27200001</v>
          </cell>
          <cell r="N2">
            <v>240997821.56999999</v>
          </cell>
          <cell r="O2">
            <v>27873269.718000002</v>
          </cell>
          <cell r="P2">
            <v>28979912.290560007</v>
          </cell>
        </row>
        <row r="3">
          <cell r="A3" t="str">
            <v xml:space="preserve">gross performing royalty revenue from terestial television (authors) </v>
          </cell>
          <cell r="B3" t="str">
            <v>Q2068</v>
          </cell>
          <cell r="M3">
            <v>2271158066.6789999</v>
          </cell>
          <cell r="N3">
            <v>2723154525.7811999</v>
          </cell>
          <cell r="O3">
            <v>300941442.98319995</v>
          </cell>
          <cell r="P3">
            <v>312099017.72210002</v>
          </cell>
        </row>
        <row r="4">
          <cell r="A4" t="str">
            <v xml:space="preserve">gross performing royalty revenue from cable television retransmission (authors) </v>
          </cell>
          <cell r="B4" t="str">
            <v>Q2069</v>
          </cell>
          <cell r="M4">
            <v>1513302283.6721001</v>
          </cell>
          <cell r="N4">
            <v>1902173080.7362802</v>
          </cell>
          <cell r="O4">
            <v>195676729.5266</v>
          </cell>
          <cell r="P4">
            <v>206369404.92783999</v>
          </cell>
        </row>
        <row r="6">
          <cell r="A6" t="str">
            <v>gross performing royalty revenue from television (authors)</v>
          </cell>
          <cell r="B6" t="str">
            <v>Q2058</v>
          </cell>
          <cell r="M6">
            <v>3784460350.3511</v>
          </cell>
          <cell r="N6">
            <v>4625327606.5174799</v>
          </cell>
          <cell r="O6">
            <v>496618172.50979996</v>
          </cell>
          <cell r="P6">
            <v>518468422.64994001</v>
          </cell>
        </row>
        <row r="7">
          <cell r="M7">
            <v>3989277871.6230998</v>
          </cell>
          <cell r="N7">
            <v>4866325428.0874796</v>
          </cell>
          <cell r="O7">
            <v>524491442.22779995</v>
          </cell>
          <cell r="P7">
            <v>547448334.94050002</v>
          </cell>
        </row>
        <row r="8">
          <cell r="A8" t="str">
            <v>gross mechanical royalty revenue from radio use (authors)</v>
          </cell>
          <cell r="B8" t="str">
            <v>Q2055</v>
          </cell>
          <cell r="M8">
            <v>49080965.655000001</v>
          </cell>
          <cell r="N8">
            <v>52093865.086199999</v>
          </cell>
          <cell r="O8">
            <v>5937654.8210000005</v>
          </cell>
          <cell r="P8">
            <v>6278430.1649000002</v>
          </cell>
        </row>
        <row r="9">
          <cell r="A9" t="str">
            <v>gross mechanical royalty revenue from television broadcasting</v>
          </cell>
          <cell r="B9" t="str">
            <v>Q2066</v>
          </cell>
          <cell r="M9">
            <v>393749569.04009998</v>
          </cell>
          <cell r="N9">
            <v>432050834.36291003</v>
          </cell>
          <cell r="O9">
            <v>46557576.5031</v>
          </cell>
          <cell r="P9">
            <v>51034417.146900006</v>
          </cell>
        </row>
        <row r="10">
          <cell r="A10" t="str">
            <v>gross mechanical royalty revenue from cable television retransmission</v>
          </cell>
          <cell r="B10" t="str">
            <v>Q2067</v>
          </cell>
          <cell r="M10">
            <v>455.202</v>
          </cell>
          <cell r="N10">
            <v>273.12119999999999</v>
          </cell>
          <cell r="O10">
            <v>7054.9412999999995</v>
          </cell>
          <cell r="P10">
            <v>950.8664</v>
          </cell>
        </row>
        <row r="11">
          <cell r="A11" t="str">
            <v xml:space="preserve">gross mechanical royalty revenue from television (authors) </v>
          </cell>
          <cell r="B11" t="str">
            <v>Q2059</v>
          </cell>
          <cell r="M11">
            <v>393750024.2421</v>
          </cell>
          <cell r="N11">
            <v>432051107.48411006</v>
          </cell>
          <cell r="O11">
            <v>46564631.444399998</v>
          </cell>
          <cell r="P11">
            <v>51035368.013300009</v>
          </cell>
        </row>
        <row r="12">
          <cell r="M12">
            <v>442830989.89709997</v>
          </cell>
          <cell r="N12">
            <v>484144972.57031006</v>
          </cell>
          <cell r="O12">
            <v>52502286.2654</v>
          </cell>
          <cell r="P12">
            <v>57313798.178200006</v>
          </cell>
        </row>
        <row r="13">
          <cell r="A13" t="str">
            <v>gross mechanical royalty revenue from digital and multimedia uses (authors)</v>
          </cell>
          <cell r="B13" t="str">
            <v>Q2070</v>
          </cell>
          <cell r="M13">
            <v>824844406.23860013</v>
          </cell>
          <cell r="N13">
            <v>1177961187.2756</v>
          </cell>
          <cell r="O13">
            <v>102778106.40740001</v>
          </cell>
          <cell r="P13">
            <v>111667581.21184002</v>
          </cell>
        </row>
        <row r="14">
          <cell r="A14" t="str">
            <v xml:space="preserve">	
gross performance royalty revenue from digital and multimedia uses (authors)</v>
          </cell>
          <cell r="B14" t="str">
            <v>Q2071</v>
          </cell>
          <cell r="M14">
            <v>175198182.05999997</v>
          </cell>
          <cell r="N14">
            <v>258314364.04479998</v>
          </cell>
          <cell r="O14">
            <v>34201506.530100003</v>
          </cell>
          <cell r="P14">
            <v>30866837.281119999</v>
          </cell>
        </row>
        <row r="15">
          <cell r="A15" t="str">
            <v xml:space="preserve">gross performance royalties from concerts (authors) </v>
          </cell>
          <cell r="B15" t="str">
            <v>Q2061</v>
          </cell>
          <cell r="M15">
            <v>1344497223.503525</v>
          </cell>
          <cell r="N15">
            <v>1253549100.3278959</v>
          </cell>
          <cell r="O15">
            <v>145329657.44570699</v>
          </cell>
          <cell r="P15">
            <v>141694253.223234</v>
          </cell>
        </row>
        <row r="16">
          <cell r="A16" t="str">
            <v xml:space="preserve">gross performance royalties from discotheques (authors) </v>
          </cell>
          <cell r="B16" t="str">
            <v>Q2060</v>
          </cell>
          <cell r="M16">
            <v>1244105513.2350571</v>
          </cell>
          <cell r="N16">
            <v>1156521956.4369729</v>
          </cell>
          <cell r="O16">
            <v>133111076.14037101</v>
          </cell>
          <cell r="P16">
            <v>133785599.464017</v>
          </cell>
        </row>
        <row r="17">
          <cell r="A17" t="str">
            <v>gross performance royalties from background music (authors)</v>
          </cell>
          <cell r="B17" t="str">
            <v>Q2062</v>
          </cell>
          <cell r="M17">
            <v>988103173.18903184</v>
          </cell>
          <cell r="N17">
            <v>936982595.63812196</v>
          </cell>
          <cell r="O17">
            <v>106891572.84684999</v>
          </cell>
          <cell r="P17">
            <v>103254722.327372</v>
          </cell>
        </row>
        <row r="18">
          <cell r="A18" t="str">
            <v xml:space="preserve">gross performance royalties from public performances (authors) </v>
          </cell>
          <cell r="B18" t="str">
            <v>Q2063</v>
          </cell>
          <cell r="M18">
            <v>3576705909.9276142</v>
          </cell>
          <cell r="N18">
            <v>3347053652.4029908</v>
          </cell>
          <cell r="O18">
            <v>385332306.43292797</v>
          </cell>
          <cell r="P18">
            <v>378734575.01462299</v>
          </cell>
        </row>
        <row r="19">
          <cell r="A19" t="str">
            <v>gross mechanical royalty revenue from phonograms (authors)</v>
          </cell>
          <cell r="B19" t="str">
            <v>Q2065</v>
          </cell>
          <cell r="M19">
            <v>111299037.00960001</v>
          </cell>
          <cell r="N19">
            <v>101345409.17928</v>
          </cell>
          <cell r="O19">
            <v>11422386.401400002</v>
          </cell>
          <cell r="P19">
            <v>11555233.735710001</v>
          </cell>
        </row>
        <row r="20">
          <cell r="M20">
            <v>9120156396.7560139</v>
          </cell>
          <cell r="N20">
            <v>10235145013.560459</v>
          </cell>
          <cell r="O20">
            <v>1110728034.265028</v>
          </cell>
          <cell r="P20">
            <v>1137586360.3619928</v>
          </cell>
        </row>
        <row r="22">
          <cell r="A22" t="str">
            <v>gross royalty revenue from television (authors)</v>
          </cell>
          <cell r="B22" t="str">
            <v>Q2057</v>
          </cell>
        </row>
        <row r="23">
          <cell r="A23" t="str">
            <v xml:space="preserve">gross royalty revenue from radio use (authors) </v>
          </cell>
          <cell r="B23" t="str">
            <v>Q2054</v>
          </cell>
        </row>
        <row r="24">
          <cell r="B24" t="str">
            <v>Q2078</v>
          </cell>
        </row>
        <row r="25">
          <cell r="A25" t="str">
            <v xml:space="preserve">physical music sales revenue (retail) </v>
          </cell>
          <cell r="B25" t="str">
            <v>Q2072</v>
          </cell>
          <cell r="M25">
            <v>1613097537.2330003</v>
          </cell>
          <cell r="N25">
            <v>1648561390.359</v>
          </cell>
          <cell r="O25">
            <v>195631373.68600002</v>
          </cell>
          <cell r="P25">
            <v>194013435.17900002</v>
          </cell>
        </row>
        <row r="26">
          <cell r="A26" t="str">
            <v>digital download music sales revenue (retail)</v>
          </cell>
          <cell r="B26" t="str">
            <v>Q2073</v>
          </cell>
          <cell r="M26">
            <v>97001332.432000011</v>
          </cell>
          <cell r="N26">
            <v>86772072.894000009</v>
          </cell>
          <cell r="O26">
            <v>10527073.235300001</v>
          </cell>
          <cell r="P26">
            <v>10251711.08</v>
          </cell>
        </row>
        <row r="27">
          <cell r="A27" t="str">
            <v>streaming music revenue (neighboring rights)</v>
          </cell>
          <cell r="B27" t="str">
            <v>Q2074</v>
          </cell>
          <cell r="M27">
            <v>6659410740.9698734</v>
          </cell>
          <cell r="N27">
            <v>8488674023.6697989</v>
          </cell>
          <cell r="O27">
            <v>876707374.85537636</v>
          </cell>
          <cell r="P27">
            <v>964654358.51178539</v>
          </cell>
        </row>
        <row r="28">
          <cell r="A28" t="str">
            <v>public performance music revenue (neighboring rights)</v>
          </cell>
          <cell r="B28" t="str">
            <v>Q2075</v>
          </cell>
          <cell r="M28">
            <v>3755387416</v>
          </cell>
          <cell r="N28">
            <v>4030456414.5999999</v>
          </cell>
          <cell r="O28">
            <v>441115480</v>
          </cell>
          <cell r="P28">
            <v>454177773</v>
          </cell>
        </row>
        <row r="29">
          <cell r="M29">
            <v>0.43</v>
          </cell>
          <cell r="N29">
            <v>0.48</v>
          </cell>
          <cell r="O29">
            <v>0.35</v>
          </cell>
          <cell r="P29">
            <v>0.34</v>
          </cell>
        </row>
        <row r="30">
          <cell r="M30">
            <v>0.31</v>
          </cell>
          <cell r="N30">
            <v>0.36</v>
          </cell>
          <cell r="O30">
            <v>0.28000000000000003</v>
          </cell>
          <cell r="P30">
            <v>0.28999999999999998</v>
          </cell>
        </row>
        <row r="31">
          <cell r="M31">
            <v>0.26278246714563513</v>
          </cell>
          <cell r="N31">
            <v>0.27</v>
          </cell>
          <cell r="O31">
            <v>0.24</v>
          </cell>
          <cell r="P31">
            <v>0.23</v>
          </cell>
        </row>
      </sheetData>
      <sheetData sheetId="7"/>
      <sheetData sheetId="8">
        <row r="4">
          <cell r="J4">
            <v>381.85</v>
          </cell>
        </row>
      </sheetData>
      <sheetData sheetId="9">
        <row r="5">
          <cell r="J5">
            <v>395.3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75BB2-DCDD-4898-B677-B919720FD41A}">
  <dimension ref="A1:G29"/>
  <sheetViews>
    <sheetView tabSelected="1" topLeftCell="B4" workbookViewId="0">
      <selection activeCell="B12" sqref="B12"/>
    </sheetView>
  </sheetViews>
  <sheetFormatPr defaultRowHeight="14.5" x14ac:dyDescent="0.35"/>
  <cols>
    <col min="1" max="1" width="51.90625" customWidth="1"/>
    <col min="2" max="2" width="28.453125" customWidth="1"/>
    <col min="3" max="3" width="40.7265625" customWidth="1"/>
    <col min="4" max="4" width="15.81640625" customWidth="1"/>
    <col min="5" max="5" width="16.81640625" customWidth="1"/>
    <col min="6" max="6" width="14.81640625" bestFit="1" customWidth="1"/>
    <col min="7" max="7" width="16.7265625" customWidth="1"/>
  </cols>
  <sheetData>
    <row r="1" spans="1:7" x14ac:dyDescent="0.35">
      <c r="A1" t="s">
        <v>0</v>
      </c>
      <c r="B1" t="s">
        <v>1</v>
      </c>
      <c r="C1" t="s">
        <v>2</v>
      </c>
      <c r="D1" t="str">
        <f>[1]Compare!M1</f>
        <v>liv_2023</v>
      </c>
      <c r="E1" t="str">
        <f>[1]Compare!N1</f>
        <v>liv_2024</v>
      </c>
      <c r="F1" t="str">
        <f>[1]Compare!O1</f>
        <v>pom_2023</v>
      </c>
      <c r="G1" t="str">
        <f>[1]Compare!P1</f>
        <v>pom_2024</v>
      </c>
    </row>
    <row r="2" spans="1:7" x14ac:dyDescent="0.35">
      <c r="A2" t="str">
        <f>[1]Compare!A2</f>
        <v xml:space="preserve">gross performing royalty revenue from radio use (authors) </v>
      </c>
      <c r="B2" t="s">
        <v>3</v>
      </c>
      <c r="C2" t="str">
        <f>_xlfn.CONCAT("https://reprexbase.eu/openmusic/Item:",  [1]Compare!B2)</f>
        <v>https://reprexbase.eu/openmusic/Item:Q2056</v>
      </c>
      <c r="D2">
        <f>ROUND([1]Compare!M2/(9.7*[1]digitalis_2023!$J$4), 0)</f>
        <v>55297</v>
      </c>
      <c r="E2">
        <f>ROUND([1]Compare!N2/(9.7*'[1]digitális (2024)'!$J$5), 0)</f>
        <v>62851</v>
      </c>
      <c r="F2">
        <f>ROUND([1]Compare!O2*0.9, 0)</f>
        <v>25085943</v>
      </c>
      <c r="G2">
        <f>ROUND([1]Compare!P2*0.9, 0)</f>
        <v>26081921</v>
      </c>
    </row>
    <row r="3" spans="1:7" x14ac:dyDescent="0.35">
      <c r="A3" t="str">
        <f>[1]Compare!A3</f>
        <v xml:space="preserve">gross performing royalty revenue from terestial television (authors) </v>
      </c>
      <c r="B3" t="s">
        <v>4</v>
      </c>
      <c r="C3" t="str">
        <f>_xlfn.CONCAT("https://reprexbase.eu/openmusic/Item:",  [1]Compare!B3)</f>
        <v>https://reprexbase.eu/openmusic/Item:Q2068</v>
      </c>
      <c r="D3">
        <f>ROUND([1]Compare!M3/(9.7*[1]digitalis_2023!$J$4), 0)</f>
        <v>613173</v>
      </c>
      <c r="E3">
        <f>ROUND([1]Compare!N3/(9.7*'[1]digitális (2024)'!$J$5), 0)</f>
        <v>710189</v>
      </c>
      <c r="F3">
        <f>ROUND([1]Compare!O3*0.9, 0)</f>
        <v>270847299</v>
      </c>
      <c r="G3">
        <f>ROUND([1]Compare!P3*0.9, 0)</f>
        <v>280889116</v>
      </c>
    </row>
    <row r="4" spans="1:7" x14ac:dyDescent="0.35">
      <c r="A4" t="str">
        <f>[1]Compare!A4</f>
        <v xml:space="preserve">gross performing royalty revenue from cable television retransmission (authors) </v>
      </c>
      <c r="B4" t="s">
        <v>5</v>
      </c>
      <c r="C4" t="str">
        <f>_xlfn.CONCAT("https://reprexbase.eu/openmusic/Item:",  [1]Compare!B4)</f>
        <v>https://reprexbase.eu/openmusic/Item:Q2069</v>
      </c>
      <c r="D4">
        <f>ROUND([1]Compare!M4/(9.7*[1]digitalis_2023!$J$4), 0)</f>
        <v>408565</v>
      </c>
      <c r="E4">
        <f>ROUND([1]Compare!N4/(9.7*'[1]digitális (2024)'!$J$5), 0)</f>
        <v>496080</v>
      </c>
      <c r="F4">
        <f>ROUND([1]Compare!O4*0.9, 0)</f>
        <v>176109057</v>
      </c>
      <c r="G4">
        <f>ROUND([1]Compare!P4*0.9, 0)</f>
        <v>185732464</v>
      </c>
    </row>
    <row r="5" spans="1:7" x14ac:dyDescent="0.35">
      <c r="A5" t="str">
        <f>[1]Compare!A6</f>
        <v>gross performing royalty revenue from television (authors)</v>
      </c>
      <c r="B5" t="s">
        <v>6</v>
      </c>
      <c r="D5">
        <f>ROUND([1]Compare!M6/(9.7*[1]digitalis_2023!$J$4), 0)</f>
        <v>1021738</v>
      </c>
      <c r="E5">
        <f>ROUND([1]Compare!N6/(9.7*'[1]digitális (2024)'!$J$5), 0)</f>
        <v>1206268</v>
      </c>
      <c r="F5">
        <f>ROUND([1]Compare!O6*0.9, 0)</f>
        <v>446956355</v>
      </c>
      <c r="G5">
        <f>ROUND([1]Compare!P6*0.9, 0)</f>
        <v>466621580</v>
      </c>
    </row>
    <row r="6" spans="1:7" x14ac:dyDescent="0.35">
      <c r="A6" t="s">
        <v>7</v>
      </c>
      <c r="B6" t="s">
        <v>8</v>
      </c>
      <c r="C6" t="str">
        <f>_xlfn.CONCAT("https://reprexbase.eu/openmusic/Item:",  [1]Compare!B6)</f>
        <v>https://reprexbase.eu/openmusic/Item:Q2058</v>
      </c>
      <c r="D6">
        <f>ROUND([1]Compare!M7/(9.7*[1]digitalis_2023!$J$4), 0)</f>
        <v>1077035</v>
      </c>
      <c r="E6">
        <f>ROUND([1]Compare!N7/(9.7*'[1]digitális (2024)'!$J$5), 0)</f>
        <v>1269120</v>
      </c>
      <c r="F6">
        <f>ROUND([1]Compare!O7*0.9, 0)</f>
        <v>472042298</v>
      </c>
      <c r="G6">
        <f>ROUND([1]Compare!P7*0.9, 0)</f>
        <v>492703501</v>
      </c>
    </row>
    <row r="7" spans="1:7" x14ac:dyDescent="0.35">
      <c r="A7" t="str">
        <f>[1]Compare!A8</f>
        <v>gross mechanical royalty revenue from radio use (authors)</v>
      </c>
      <c r="B7" t="s">
        <v>9</v>
      </c>
      <c r="C7" t="str">
        <f>_xlfn.CONCAT("https://reprexbase.eu/openmusic/Item:",  [1]Compare!B8)</f>
        <v>https://reprexbase.eu/openmusic/Item:Q2055</v>
      </c>
      <c r="D7">
        <f>ROUND([1]Compare!M8/(9.7*[1]digitalis_2023!$J$4), 0)</f>
        <v>13251</v>
      </c>
      <c r="E7">
        <f>ROUND([1]Compare!N8/(9.7*'[1]digitális (2024)'!$J$5), 0)</f>
        <v>13586</v>
      </c>
      <c r="F7">
        <f>ROUND([1]Compare!O8*0.9, 0)</f>
        <v>5343889</v>
      </c>
      <c r="G7">
        <f>ROUND([1]Compare!P8*0.9, 0)</f>
        <v>5650587</v>
      </c>
    </row>
    <row r="8" spans="1:7" x14ac:dyDescent="0.35">
      <c r="A8" t="str">
        <f>[1]Compare!A9</f>
        <v>gross mechanical royalty revenue from television broadcasting</v>
      </c>
      <c r="B8" t="s">
        <v>10</v>
      </c>
      <c r="C8" t="str">
        <f>_xlfn.CONCAT("https://reprexbase.eu/openmusic/Item:",  [1]Compare!B9)</f>
        <v>https://reprexbase.eu/openmusic/Item:Q2066</v>
      </c>
      <c r="D8">
        <f>ROUND([1]Compare!M9/(9.7*[1]digitalis_2023!$J$4), 0)</f>
        <v>106305</v>
      </c>
      <c r="E8">
        <f>ROUND([1]Compare!N9/(9.7*'[1]digitális (2024)'!$J$5), 0)</f>
        <v>112677</v>
      </c>
      <c r="F8">
        <f>ROUND([1]Compare!O9*0.9, 0)</f>
        <v>41901819</v>
      </c>
      <c r="G8">
        <f>ROUND([1]Compare!P9*0.9, 0)</f>
        <v>45930975</v>
      </c>
    </row>
    <row r="9" spans="1:7" x14ac:dyDescent="0.35">
      <c r="A9" t="str">
        <f>[1]Compare!A10</f>
        <v>gross mechanical royalty revenue from cable television retransmission</v>
      </c>
      <c r="B9" t="s">
        <v>11</v>
      </c>
      <c r="C9" t="str">
        <f>_xlfn.CONCAT("https://reprexbase.eu/openmusic/Item:",  [1]Compare!B10)</f>
        <v>https://reprexbase.eu/openmusic/Item:Q2067</v>
      </c>
      <c r="D9">
        <f>ROUND([1]Compare!M10/(9.7*[1]digitalis_2023!$J$4), 0)</f>
        <v>0</v>
      </c>
      <c r="E9">
        <f>ROUND([1]Compare!N10/(9.7*'[1]digitális (2024)'!$J$5), 0)</f>
        <v>0</v>
      </c>
      <c r="F9">
        <f>ROUND([1]Compare!O10*0.9, 0)</f>
        <v>6349</v>
      </c>
      <c r="G9">
        <f>ROUND([1]Compare!P10*0.9, 0)</f>
        <v>856</v>
      </c>
    </row>
    <row r="10" spans="1:7" x14ac:dyDescent="0.35">
      <c r="A10" t="str">
        <f>[1]Compare!A11</f>
        <v xml:space="preserve">gross mechanical royalty revenue from television (authors) </v>
      </c>
      <c r="B10" t="s">
        <v>12</v>
      </c>
      <c r="C10" t="str">
        <f>_xlfn.CONCAT("https://reprexbase.eu/openmusic/Item:",  [1]Compare!B11)</f>
        <v>https://reprexbase.eu/openmusic/Item:Q2059</v>
      </c>
      <c r="D10">
        <f>ROUND([1]Compare!M11/(9.7*[1]digitalis_2023!$J$4), 0)</f>
        <v>106306</v>
      </c>
      <c r="E10">
        <f>ROUND([1]Compare!N11/(9.7*'[1]digitális (2024)'!$J$5), 0)</f>
        <v>112677</v>
      </c>
      <c r="F10">
        <f>ROUND([1]Compare!O11*0.9, 0)</f>
        <v>41908168</v>
      </c>
      <c r="G10">
        <f>ROUND([1]Compare!P11*0.9, 0)</f>
        <v>45931831</v>
      </c>
    </row>
    <row r="11" spans="1:7" x14ac:dyDescent="0.35">
      <c r="A11" t="s">
        <v>13</v>
      </c>
      <c r="B11" t="s">
        <v>14</v>
      </c>
      <c r="D11">
        <f>ROUND([1]Compare!M12/(9.7*[1]digitalis_2023!$J$4), 0)</f>
        <v>119557</v>
      </c>
      <c r="E11">
        <f>ROUND([1]Compare!N12/(9.7*'[1]digitális (2024)'!$J$5), 0)</f>
        <v>126263</v>
      </c>
      <c r="F11">
        <f>ROUND([1]Compare!O12*0.9, 0)</f>
        <v>47252058</v>
      </c>
      <c r="G11">
        <f>ROUND([1]Compare!P12*0.9, 0)</f>
        <v>51582418</v>
      </c>
    </row>
    <row r="12" spans="1:7" x14ac:dyDescent="0.35">
      <c r="A12" t="str">
        <f>[1]Compare!A13</f>
        <v>gross mechanical royalty revenue from digital and multimedia uses (authors)</v>
      </c>
      <c r="B12" t="s">
        <v>37</v>
      </c>
      <c r="C12" t="str">
        <f>_xlfn.CONCAT("https://reprexbase.eu/openmusic/Item:",  [1]Compare!B13)</f>
        <v>https://reprexbase.eu/openmusic/Item:Q2070</v>
      </c>
      <c r="D12">
        <f>ROUND([1]Compare!M13/(9.7*[1]digitalis_2023!$J$4), 0)</f>
        <v>222693</v>
      </c>
      <c r="E12">
        <f>ROUND([1]Compare!N13/(9.7*'[1]digitális (2024)'!$J$5), 0)</f>
        <v>307208</v>
      </c>
      <c r="F12">
        <f>ROUND([1]Compare!O13*0.9, 0)</f>
        <v>92500296</v>
      </c>
      <c r="G12">
        <f>ROUND([1]Compare!P13*0.9, 0)</f>
        <v>100500823</v>
      </c>
    </row>
    <row r="13" spans="1:7" x14ac:dyDescent="0.35">
      <c r="A13" t="str">
        <f>[1]Compare!A14</f>
        <v xml:space="preserve">	
gross performance royalty revenue from digital and multimedia uses (authors)</v>
      </c>
      <c r="B13" t="s">
        <v>15</v>
      </c>
      <c r="C13" t="str">
        <f>_xlfn.CONCAT("https://reprexbase.eu/openmusic/Item:",  [1]Compare!B14)</f>
        <v>https://reprexbase.eu/openmusic/Item:Q2071</v>
      </c>
      <c r="D13">
        <f>ROUND([1]Compare!M14/(9.7*[1]digitalis_2023!$J$4), 0)</f>
        <v>47300</v>
      </c>
      <c r="E13">
        <f>ROUND([1]Compare!N14/(9.7*'[1]digitális (2024)'!$J$5), 0)</f>
        <v>67367</v>
      </c>
      <c r="F13">
        <f>ROUND([1]Compare!O14*0.9, 0)</f>
        <v>30781356</v>
      </c>
      <c r="G13">
        <f>ROUND([1]Compare!P14*0.9, 0)</f>
        <v>27780154</v>
      </c>
    </row>
    <row r="14" spans="1:7" x14ac:dyDescent="0.35">
      <c r="A14" t="str">
        <f>[1]Compare!A15</f>
        <v xml:space="preserve">gross performance royalties from concerts (authors) </v>
      </c>
      <c r="B14" t="s">
        <v>16</v>
      </c>
      <c r="C14" t="str">
        <f>_xlfn.CONCAT("https://reprexbase.eu/openmusic/Item:",  [1]Compare!B15)</f>
        <v>https://reprexbase.eu/openmusic/Item:Q2061</v>
      </c>
      <c r="D14">
        <f>ROUND([1]Compare!M15/(9.7*[1]digitalis_2023!$J$4), 0)</f>
        <v>362991</v>
      </c>
      <c r="E14">
        <f>ROUND([1]Compare!N15/(9.7*'[1]digitális (2024)'!$J$5), 0)</f>
        <v>326921</v>
      </c>
      <c r="F14">
        <f>ROUND([1]Compare!O15*0.9, 0)</f>
        <v>130796692</v>
      </c>
      <c r="G14">
        <f>ROUND([1]Compare!P15*0.9, 0)</f>
        <v>127524828</v>
      </c>
    </row>
    <row r="15" spans="1:7" x14ac:dyDescent="0.35">
      <c r="A15" t="str">
        <f>[1]Compare!A16</f>
        <v xml:space="preserve">gross performance royalties from discotheques (authors) </v>
      </c>
      <c r="B15" t="s">
        <v>17</v>
      </c>
      <c r="C15" t="str">
        <f>_xlfn.CONCAT("https://reprexbase.eu/openmusic/Item:",  [1]Compare!B16)</f>
        <v>https://reprexbase.eu/openmusic/Item:Q2060</v>
      </c>
      <c r="D15">
        <f>ROUND([1]Compare!M16/(9.7*[1]digitalis_2023!$J$4), 0)</f>
        <v>335887</v>
      </c>
      <c r="E15">
        <f>ROUND([1]Compare!N16/(9.7*'[1]digitális (2024)'!$J$5), 0)</f>
        <v>301617</v>
      </c>
      <c r="F15">
        <f>ROUND([1]Compare!O16*0.9, 0)</f>
        <v>119799969</v>
      </c>
      <c r="G15">
        <f>ROUND([1]Compare!P16*0.9, 0)</f>
        <v>120407040</v>
      </c>
    </row>
    <row r="16" spans="1:7" x14ac:dyDescent="0.35">
      <c r="A16" t="str">
        <f>[1]Compare!A17</f>
        <v>gross performance royalties from background music (authors)</v>
      </c>
      <c r="B16" t="s">
        <v>18</v>
      </c>
      <c r="C16" t="str">
        <f>_xlfn.CONCAT("https://reprexbase.eu/openmusic/Item:",  [1]Compare!B17)</f>
        <v>https://reprexbase.eu/openmusic/Item:Q2062</v>
      </c>
      <c r="D16">
        <f>ROUND([1]Compare!M17/(9.7*[1]digitalis_2023!$J$4), 0)</f>
        <v>266770</v>
      </c>
      <c r="E16">
        <f>ROUND([1]Compare!N17/(9.7*'[1]digitális (2024)'!$J$5), 0)</f>
        <v>244362</v>
      </c>
      <c r="F16">
        <f>ROUND([1]Compare!O17*0.9, 0)</f>
        <v>96202416</v>
      </c>
      <c r="G16">
        <f>ROUND([1]Compare!P17*0.9, 0)</f>
        <v>92929250</v>
      </c>
    </row>
    <row r="17" spans="1:7" x14ac:dyDescent="0.35">
      <c r="A17" t="str">
        <f>[1]Compare!A18</f>
        <v xml:space="preserve">gross performance royalties from public performances (authors) </v>
      </c>
      <c r="B17" t="s">
        <v>19</v>
      </c>
      <c r="C17" t="str">
        <f>_xlfn.CONCAT("https://reprexbase.eu/openmusic/Item:",  [1]Compare!B18)</f>
        <v>https://reprexbase.eu/openmusic/Item:Q2063</v>
      </c>
      <c r="D17">
        <f>ROUND([1]Compare!M18/(9.7*[1]digitalis_2023!$J$4), 0)</f>
        <v>965648</v>
      </c>
      <c r="E17">
        <f>ROUND([1]Compare!N18/(9.7*'[1]digitális (2024)'!$J$5), 0)</f>
        <v>872899</v>
      </c>
      <c r="F17">
        <f>ROUND([1]Compare!O18*0.9, 0)</f>
        <v>346799076</v>
      </c>
      <c r="G17">
        <f>ROUND([1]Compare!P18*0.9, 0)</f>
        <v>340861118</v>
      </c>
    </row>
    <row r="18" spans="1:7" x14ac:dyDescent="0.35">
      <c r="A18" t="str">
        <f>[1]Compare!A19</f>
        <v>gross mechanical royalty revenue from phonograms (authors)</v>
      </c>
      <c r="B18" t="s">
        <v>20</v>
      </c>
      <c r="C18" t="str">
        <f>_xlfn.CONCAT("https://reprexbase.eu/openmusic/Item:",  [1]Compare!B19)</f>
        <v>https://reprexbase.eu/openmusic/Item:Q2065</v>
      </c>
      <c r="D18">
        <f>ROUND([1]Compare!M19/(9.7*[1]digitalis_2023!$J$4), 0)</f>
        <v>30049</v>
      </c>
      <c r="E18">
        <f>ROUND([1]Compare!N19/(9.7*'[1]digitális (2024)'!$J$5), 0)</f>
        <v>26431</v>
      </c>
      <c r="F18">
        <f>ROUND([1]Compare!O19*0.9, 0)</f>
        <v>10280148</v>
      </c>
      <c r="G18">
        <f>ROUND([1]Compare!P19*0.9, 0)</f>
        <v>10399710</v>
      </c>
    </row>
    <row r="19" spans="1:7" x14ac:dyDescent="0.35">
      <c r="A19" t="s">
        <v>21</v>
      </c>
      <c r="B19" t="s">
        <v>22</v>
      </c>
      <c r="D19">
        <f>ROUND([1]Compare!M20/(9.7*[1]digitalis_2023!$J$4), 0)</f>
        <v>2462282</v>
      </c>
      <c r="E19">
        <f>ROUND([1]Compare!N20/(9.7*'[1]digitális (2024)'!$J$5), 0)</f>
        <v>2669288</v>
      </c>
      <c r="F19">
        <f>ROUND([1]Compare!O20*0.9, 0)</f>
        <v>999655231</v>
      </c>
      <c r="G19">
        <f>ROUND([1]Compare!P20*0.9, 0)</f>
        <v>1023827724</v>
      </c>
    </row>
    <row r="20" spans="1:7" x14ac:dyDescent="0.35">
      <c r="A20" t="str">
        <f>[1]Compare!A22</f>
        <v>gross royalty revenue from television (authors)</v>
      </c>
      <c r="B20" t="s">
        <v>23</v>
      </c>
      <c r="C20" t="str">
        <f>_xlfn.CONCAT("https://reprexbase.eu/openmusic/Item:",  [1]Compare!B22)</f>
        <v>https://reprexbase.eu/openmusic/Item:Q2057</v>
      </c>
      <c r="D20">
        <f>SUM(D5,D10)</f>
        <v>1128044</v>
      </c>
      <c r="E20">
        <f>SUM(E5,E10)</f>
        <v>1318945</v>
      </c>
      <c r="F20">
        <f>SUM(F5,F10)</f>
        <v>488864523</v>
      </c>
      <c r="G20">
        <f>SUM(G5,G10)</f>
        <v>512553411</v>
      </c>
    </row>
    <row r="21" spans="1:7" x14ac:dyDescent="0.35">
      <c r="A21" t="str">
        <f>[1]Compare!A23</f>
        <v xml:space="preserve">gross royalty revenue from radio use (authors) </v>
      </c>
      <c r="B21" t="s">
        <v>24</v>
      </c>
      <c r="C21" t="str">
        <f>_xlfn.CONCAT("https://reprexbase.eu/openmusic/Item:",  [1]Compare!B23)</f>
        <v>https://reprexbase.eu/openmusic/Item:Q2054</v>
      </c>
      <c r="D21">
        <f>SUM(D2,D7)</f>
        <v>68548</v>
      </c>
      <c r="E21">
        <f>SUM(E2,E7)</f>
        <v>76437</v>
      </c>
      <c r="F21">
        <f>SUM(F2,F7)</f>
        <v>30429832</v>
      </c>
      <c r="G21">
        <f>SUM(G2,G7)</f>
        <v>31732508</v>
      </c>
    </row>
    <row r="22" spans="1:7" x14ac:dyDescent="0.35">
      <c r="A22" t="s">
        <v>25</v>
      </c>
      <c r="B22" t="s">
        <v>26</v>
      </c>
      <c r="C22" t="str">
        <f>_xlfn.CONCAT("https://reprexbase.eu/openmusic/Item:",  [1]Compare!B24)</f>
        <v>https://reprexbase.eu/openmusic/Item:Q2078</v>
      </c>
      <c r="D22">
        <f>SUM(D12:D13)</f>
        <v>269993</v>
      </c>
      <c r="E22">
        <f>SUM(E12:E13)</f>
        <v>374575</v>
      </c>
      <c r="F22">
        <f>SUM(F12:F13)</f>
        <v>123281652</v>
      </c>
      <c r="G22">
        <f>SUM(G12:G13)</f>
        <v>128280977</v>
      </c>
    </row>
    <row r="23" spans="1:7" x14ac:dyDescent="0.35">
      <c r="A23" t="str">
        <f>[1]Compare!A25</f>
        <v xml:space="preserve">physical music sales revenue (retail) </v>
      </c>
      <c r="B23" t="s">
        <v>27</v>
      </c>
      <c r="C23" t="str">
        <f>_xlfn.CONCAT("https://reprexbase.eu/openmusic/Item:",  [1]Compare!B25)</f>
        <v>https://reprexbase.eu/openmusic/Item:Q2072</v>
      </c>
      <c r="D23">
        <f>ROUND([1]Compare!M25/(9.7*[1]digitalis_2023!$J$4), 0)</f>
        <v>435508</v>
      </c>
      <c r="E23">
        <f>ROUND([1]Compare!N25/(9.7*'[1]digitális (2024)'!$J$5), 0)</f>
        <v>429939</v>
      </c>
      <c r="F23">
        <f>ROUND([1]Compare!O25*0.9, 0)</f>
        <v>176068236</v>
      </c>
      <c r="G23">
        <f>ROUND([1]Compare!P25*0.9, 0)</f>
        <v>174612092</v>
      </c>
    </row>
    <row r="24" spans="1:7" x14ac:dyDescent="0.35">
      <c r="A24" t="str">
        <f>[1]Compare!A26</f>
        <v>digital download music sales revenue (retail)</v>
      </c>
      <c r="B24" t="s">
        <v>28</v>
      </c>
      <c r="C24" t="str">
        <f>_xlfn.CONCAT("https://reprexbase.eu/openmusic/Item:",  [1]Compare!B26)</f>
        <v>https://reprexbase.eu/openmusic/Item:Q2073</v>
      </c>
      <c r="D24">
        <f>ROUND([1]Compare!M26/(9.7*[1]digitalis_2023!$J$4), 0)</f>
        <v>26189</v>
      </c>
      <c r="E24">
        <f>ROUND([1]Compare!N26/(9.7*'[1]digitális (2024)'!$J$5), 0)</f>
        <v>22630</v>
      </c>
      <c r="F24">
        <f>ROUND([1]Compare!O26*0.9, 0)</f>
        <v>9474366</v>
      </c>
      <c r="G24">
        <f>ROUND([1]Compare!P26*0.9, 0)</f>
        <v>9226540</v>
      </c>
    </row>
    <row r="25" spans="1:7" x14ac:dyDescent="0.35">
      <c r="A25" t="str">
        <f>[1]Compare!A27</f>
        <v>streaming music revenue (neighboring rights)</v>
      </c>
      <c r="B25" t="s">
        <v>29</v>
      </c>
      <c r="C25" t="str">
        <f>_xlfn.CONCAT("https://reprexbase.eu/openmusic/Item:",  [1]Compare!B27)</f>
        <v>https://reprexbase.eu/openmusic/Item:Q2074</v>
      </c>
      <c r="D25">
        <f>ROUND([1]Compare!M27/(9.7*[1]digitalis_2023!$J$4), 0)</f>
        <v>1797924</v>
      </c>
      <c r="E25">
        <f>ROUND([1]Compare!N27/(9.7*'[1]digitális (2024)'!$J$5), 0)</f>
        <v>2213815</v>
      </c>
      <c r="F25">
        <f>ROUND([1]Compare!O27*0.9, 0)</f>
        <v>789036637</v>
      </c>
      <c r="G25">
        <f>ROUND([1]Compare!P27*0.9, 0)</f>
        <v>868188923</v>
      </c>
    </row>
    <row r="26" spans="1:7" x14ac:dyDescent="0.35">
      <c r="A26" t="str">
        <f>[1]Compare!A28</f>
        <v>public performance music revenue (neighboring rights)</v>
      </c>
      <c r="B26" t="s">
        <v>30</v>
      </c>
      <c r="C26" t="str">
        <f>_xlfn.CONCAT("https://reprexbase.eu/openmusic/Item:",  [1]Compare!B28)</f>
        <v>https://reprexbase.eu/openmusic/Item:Q2075</v>
      </c>
      <c r="D26">
        <f>ROUND([1]Compare!M28/(9.7*[1]digitalis_2023!$J$4), 0)</f>
        <v>1013889</v>
      </c>
      <c r="E26">
        <f>ROUND([1]Compare!N28/(9.7*'[1]digitális (2024)'!$J$5), 0)</f>
        <v>1051128</v>
      </c>
      <c r="F26">
        <f>ROUND([1]Compare!O28*0.9, 0)</f>
        <v>397003932</v>
      </c>
      <c r="G26">
        <f>ROUND([1]Compare!P28*0.9, 0)</f>
        <v>408759996</v>
      </c>
    </row>
    <row r="27" spans="1:7" x14ac:dyDescent="0.35">
      <c r="A27" t="s">
        <v>31</v>
      </c>
      <c r="B27" t="s">
        <v>32</v>
      </c>
      <c r="D27" s="1">
        <f>[1]Compare!M29</f>
        <v>0.43</v>
      </c>
      <c r="E27" s="1">
        <f>[1]Compare!N29</f>
        <v>0.48</v>
      </c>
      <c r="F27" s="1">
        <f>[1]Compare!O29</f>
        <v>0.35</v>
      </c>
      <c r="G27" s="1">
        <f>[1]Compare!P29</f>
        <v>0.34</v>
      </c>
    </row>
    <row r="28" spans="1:7" x14ac:dyDescent="0.35">
      <c r="A28" t="s">
        <v>33</v>
      </c>
      <c r="B28" t="s">
        <v>34</v>
      </c>
      <c r="D28" s="1">
        <f>[1]Compare!M30</f>
        <v>0.31</v>
      </c>
      <c r="E28" s="1">
        <f>[1]Compare!N30</f>
        <v>0.36</v>
      </c>
      <c r="F28" s="1">
        <f>[1]Compare!O30</f>
        <v>0.28000000000000003</v>
      </c>
      <c r="G28" s="1">
        <f>[1]Compare!P30</f>
        <v>0.28999999999999998</v>
      </c>
    </row>
    <row r="29" spans="1:7" x14ac:dyDescent="0.35">
      <c r="A29" t="s">
        <v>35</v>
      </c>
      <c r="B29" t="s">
        <v>36</v>
      </c>
      <c r="D29" s="1">
        <f>[1]Compare!M31</f>
        <v>0.26278246714563513</v>
      </c>
      <c r="E29" s="1">
        <f>[1]Compare!N31</f>
        <v>0.27</v>
      </c>
      <c r="F29" s="1">
        <f>[1]Compare!O31</f>
        <v>0.24</v>
      </c>
      <c r="G29" s="1">
        <f>[1]Compare!P31</f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Antal</dc:creator>
  <cp:lastModifiedBy>Daniel Antal</cp:lastModifiedBy>
  <dcterms:created xsi:type="dcterms:W3CDTF">2025-12-25T18:30:34Z</dcterms:created>
  <dcterms:modified xsi:type="dcterms:W3CDTF">2025-12-25T18:35:15Z</dcterms:modified>
</cp:coreProperties>
</file>